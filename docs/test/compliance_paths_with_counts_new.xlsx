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<sst xmlns="http://schemas.openxmlformats.org/spreadsheetml/2006/main" count="292" uniqueCount="82">
  <si>
    <t>合规号</t>
  </si>
  <si>
    <t>场景</t>
  </si>
  <si>
    <t>天气</t>
  </si>
  <si>
    <t>时段</t>
  </si>
  <si>
    <t>障碍物</t>
  </si>
  <si>
    <t>目录</t>
  </si>
  <si>
    <t>实际统计目录</t>
  </si>
  <si>
    <t>可见光</t>
  </si>
  <si>
    <t>红外图像</t>
  </si>
  <si>
    <t>lidar_pcd_count</t>
  </si>
  <si>
    <t>毫米波udp包数</t>
  </si>
  <si>
    <t>mat(cal)</t>
  </si>
  <si>
    <t>mat</t>
  </si>
  <si>
    <t>晴天、白天、山地、高压线塔</t>
  </si>
  <si>
    <t>晴天</t>
  </si>
  <si>
    <t>夜晚</t>
  </si>
  <si>
    <t>山地</t>
  </si>
  <si>
    <t>高压</t>
  </si>
  <si>
    <t>5_9\with_cameras_capture_20260508_171129_1;5_9\with_cameras_capture_20260509_113036;5_9\with_cameras_capture_20260509_113112_3</t>
  </si>
  <si>
    <t>雨天、白天、山地、高压线塔</t>
  </si>
  <si>
    <t>雨天</t>
  </si>
  <si>
    <t>白天</t>
  </si>
  <si>
    <t>5_9\with_cameras_capture_20260509_113138_2;5_9\with_cameras_capture_20260509_113729;5_9\with_cameras_capture_20260509_133549</t>
  </si>
  <si>
    <t>5_9\with_cameras_capture_20260509_113138_2_rife_x5;5_9\with_cameras_capture_20260509_113729_converted_rain_x5_x5;5_9\with_cameras_capture_20260509_133549_converted_rain_x5_x5</t>
  </si>
  <si>
    <t>5_9\with_cameras_capture_20260509_133633;5_9\with_cameras_capture_20260509_143912;5_9\with_cameras_capture_20260509_173327</t>
  </si>
  <si>
    <t>雾天、白天、平原、高压线塔</t>
  </si>
  <si>
    <t>雾天</t>
  </si>
  <si>
    <t>平原</t>
  </si>
  <si>
    <t>5_19\with_cameras_capture_20260519_143539</t>
  </si>
  <si>
    <t>晴天、白天、山地、风力发电车</t>
  </si>
  <si>
    <t>风力</t>
  </si>
  <si>
    <t>雨天、白天、山地、风力发电车</t>
  </si>
  <si>
    <t>晴天、白天、平原、高压线塔</t>
  </si>
  <si>
    <t>4_27\with_cameras_capture_20260427_151124;4_27\with_cameras_capture_20260427_165128</t>
  </si>
  <si>
    <t>雨天、白天、平原、高压线塔</t>
  </si>
  <si>
    <t>4_30\with_cameras_capture_20260430_101120;4_30\with_cameras_capture_20260430_101502;4_30\with_cameras_capture_20260430_150023</t>
  </si>
  <si>
    <t>4_30\with_cameras_capture_20260430_101120_converted_rain_x5_x5;4_30\with_cameras_capture_20260430_101502_converted_rain_x11;4_30\with_cameras_capture_20260430_150023_converted_rain_x11</t>
  </si>
  <si>
    <t>4_30\with_cameras_capture_20260430_150451;4_30\with_cameras_capture_20260430_191146;4_30\with_cameras_capture_20260430_191328</t>
  </si>
  <si>
    <t>晴天、白天、平原、建筑物</t>
  </si>
  <si>
    <t>建筑</t>
  </si>
  <si>
    <t>4_27\with_cameras_capture_20260427_151113;4_27\with_cameras_capture_20260427_151124;4_27\with_cameras_capture_20260427_165128;4_27\with_cameras_capture_20260427_175645</t>
  </si>
  <si>
    <t>雨天、白天、河流、高压线塔</t>
  </si>
  <si>
    <t>晴天、白天、河流、高压线塔</t>
  </si>
  <si>
    <t>河流</t>
  </si>
  <si>
    <t>4_30\with_cameras_capture_20260430_150451</t>
  </si>
  <si>
    <t>晴天、夜晚、平原、建筑物</t>
  </si>
  <si>
    <t>4_29\with_cameras_capture_20260429_185909</t>
  </si>
  <si>
    <t>4_29\with_cameras_capture_20260429_185909_converted_rain_x16</t>
  </si>
  <si>
    <t>晴天、白天、河流、建筑物</t>
  </si>
  <si>
    <t>晴天、夜晚、平原、高压线塔</t>
  </si>
  <si>
    <t>4_30\with_cameras_capture_20260430_191146;4_30\with_cameras_capture_20260430_191328;4_30\with_cameras_capture_20260430_195500;4_30\with_cameras_capture_20260430_202854</t>
  </si>
  <si>
    <t>晴天、夜晚、河流、高压线塔</t>
  </si>
  <si>
    <t>4_30\with_cameras_capture_20260430_195500;4_30\with_cameras_capture_20260430_202854</t>
  </si>
  <si>
    <t>晴天、夜晚、河流、建筑物</t>
  </si>
  <si>
    <t>6_5\with_cameras_capture_20260605_103857;6_5\with_cameras_capture_20260605_104107;6_5\with_cameras_capture_20260606_151623;6_5\with_cameras_capture_20260606_153629;6_5\with_cameras_capture_20260606_182724</t>
  </si>
  <si>
    <t>6_5\with_cameras_capture_20260605_103857_converted_fog_x21;6_5\with_cameras_capture_20260605_104107_converted_fog_x21;6_5\with_cameras_capture_20260606_151623_converted_fog_x21;6_5\with_cameras_capture_20260606_153629_converted_fog_x21;6_5\with_cameras_capture_20260606_182724_converted_fog_x21</t>
  </si>
  <si>
    <t>6_5\with_cameras_capture_20260606_150749;6_5\with_cameras_capture_20260606_182724</t>
  </si>
  <si>
    <t>6_5\with_cameras_capture_20260606_150749_converted_fog_x21;6_5\with_cameras_capture_20260606_182724_converted_fog_x21</t>
  </si>
  <si>
    <t>6_8\with_cameras_capture_20260608_125137;6_8\with_cameras_capture_20260608_130656;6_8\with_cameras_capture_20260608_143004;6_8\with_cameras_capture_20260608_145606</t>
  </si>
  <si>
    <t>6_8\with_cameras_capture_20260608_151448;6_8\with_cameras_capture_20260608_152116;6_8\with_cameras_capture_20260608_161851</t>
  </si>
  <si>
    <t>雾天、白天、平原、建筑物</t>
  </si>
  <si>
    <t>6_8\with_cameras_capture_20260608_162452;6_8\with_cameras_capture_20260608_174907;6_8\with_cameras_capture_20260608_174950</t>
  </si>
  <si>
    <t>6_11\with_cameras_capture_20260610_161231;6_11\with_cameras_capture_20260610_161258;6_11\with_cameras_capture_20260610_163951;6_11\with_cameras_capture_20260610_164229;</t>
  </si>
  <si>
    <t>6_11\with_cameras_capture_20260610_161231;6_11\with_cameras_capture_20260610_161258;6_11\with_cameras_capture_20260610_163951;6_11\with_cameras_capture_20260610_164229</t>
  </si>
  <si>
    <t>晴天、白天、平原、风力发电车</t>
  </si>
  <si>
    <t>6_12\with_cameras_capture_20260612_120324(1)</t>
  </si>
  <si>
    <t>晴天、白天、河流、风力发电车</t>
  </si>
  <si>
    <t>6_11\with_cameras_capture_20260610_184215;6_11\with_cameras_capture_20260610_161407;6_11\with_cameras_capture_20260610_184215</t>
  </si>
  <si>
    <t>晴天、夜晚、平原、风力发电车</t>
  </si>
  <si>
    <t>雨天、夜晚、平原、高压线塔</t>
  </si>
  <si>
    <t>6_11\with_cameras_capture_20260610_161407</t>
  </si>
  <si>
    <t>6_12\with_cameras_capture_20260612_120341(2)</t>
  </si>
  <si>
    <t>晴天、夜晚、河流、风力发电车</t>
  </si>
  <si>
    <t>6_12\with_cameras_capture_20260612_120246(3)</t>
  </si>
  <si>
    <t>雾天、白天、河流、风力发电车</t>
  </si>
  <si>
    <t>6_12\with_cameras_capture_20260612_132808(4)</t>
  </si>
  <si>
    <t>雾天、夜晚、平原、高压线塔</t>
  </si>
  <si>
    <t>6_11\with_cameras_capture_20260610_161405</t>
  </si>
  <si>
    <t>雾天、夜晚、平原、风力发电车</t>
  </si>
  <si>
    <t>晴天、白天、山地、建筑物</t>
  </si>
  <si>
    <t>山地_障碍物/tv_tower_rife_x26</t>
  </si>
  <si>
    <t>晴天、夜晚、山地、建筑物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</si>
</sst>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tabSelected="1" topLeftCell="A16" workbookViewId="0">
      <selection activeCell="K34" sqref="K34"/>
    </sheetView>
  </sheetViews>
  <sheetFormatPr defaultColWidth="9" defaultRowHeight="13.5"/>
  <cols>
    <col min="1" max="1" width="12.5" customWidth="1"/>
    <col min="2" max="2" width="28.25" customWidth="1"/>
    <col min="3" max="6" width="9" style="1"/>
    <col min="7" max="7" width="17.875" customWidth="1"/>
    <col min="10" max="10" width="12.875" customWidth="1"/>
    <col min="12" max="12" width="9.375"/>
    <col min="13" max="14" width="12.625"/>
  </cols>
  <sheetData>
    <row r="1" ht="14.25" spans="1:14">
      <c r="A1" s="2" t="s">
        <v>0</v>
      </c>
      <c r="B1" s="2" t="s">
        <v>1</v>
      </c>
      <c r="C1" s="3" t="s">
        <v>2</v>
      </c>
      <c r="D1" s="3" t="s">
        <v>3</v>
      </c>
      <c r="E1" s="3" t="s">
        <v>1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ht="14.25" spans="1:14">
      <c r="A2">
        <v>1</v>
      </c>
      <c r="B2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t="s">
        <v>18</v>
      </c>
      <c r="H2" t="s">
        <v>18</v>
      </c>
      <c r="I2">
        <v>46805</v>
      </c>
      <c r="J2">
        <v>18927</v>
      </c>
      <c r="K2">
        <v>3947</v>
      </c>
      <c r="L2">
        <v>860610</v>
      </c>
      <c r="M2">
        <f>L2/23</f>
        <v>37417.8260869565</v>
      </c>
      <c r="N2" s="5">
        <f>M2</f>
        <v>37417.8260869565</v>
      </c>
    </row>
    <row r="3" ht="14.25" spans="1:14">
      <c r="A3">
        <v>2</v>
      </c>
      <c r="B3" t="s">
        <v>19</v>
      </c>
      <c r="C3" s="4" t="s">
        <v>20</v>
      </c>
      <c r="D3" s="4" t="s">
        <v>21</v>
      </c>
      <c r="E3" s="4" t="s">
        <v>16</v>
      </c>
      <c r="F3" s="4" t="s">
        <v>17</v>
      </c>
      <c r="G3" t="s">
        <v>22</v>
      </c>
      <c r="H3" t="s">
        <v>23</v>
      </c>
      <c r="I3">
        <v>233609</v>
      </c>
      <c r="J3">
        <v>94449</v>
      </c>
      <c r="K3">
        <v>0</v>
      </c>
      <c r="L3">
        <v>0</v>
      </c>
      <c r="M3">
        <f t="shared" ref="M3:M39" si="0">L3/23</f>
        <v>0</v>
      </c>
      <c r="N3" s="5">
        <f t="shared" ref="N3:N39" si="1">M3</f>
        <v>0</v>
      </c>
    </row>
    <row r="4" ht="14.25" spans="1:14">
      <c r="A4">
        <v>3</v>
      </c>
      <c r="B4" t="s">
        <v>13</v>
      </c>
      <c r="C4" s="4" t="s">
        <v>14</v>
      </c>
      <c r="D4" s="4" t="s">
        <v>21</v>
      </c>
      <c r="E4" s="4" t="s">
        <v>16</v>
      </c>
      <c r="F4" s="4" t="s">
        <v>17</v>
      </c>
      <c r="G4" t="s">
        <v>24</v>
      </c>
      <c r="H4" t="s">
        <v>24</v>
      </c>
      <c r="I4">
        <v>65618</v>
      </c>
      <c r="J4">
        <v>27200</v>
      </c>
      <c r="K4">
        <v>5571</v>
      </c>
      <c r="L4">
        <v>977975</v>
      </c>
      <c r="M4">
        <f t="shared" si="0"/>
        <v>42520.652173913</v>
      </c>
      <c r="N4" s="5">
        <f t="shared" si="1"/>
        <v>42520.652173913</v>
      </c>
    </row>
    <row r="5" ht="14.25" spans="1:14">
      <c r="A5">
        <v>4</v>
      </c>
      <c r="B5" t="s">
        <v>25</v>
      </c>
      <c r="C5" s="4" t="s">
        <v>26</v>
      </c>
      <c r="D5" s="4" t="s">
        <v>21</v>
      </c>
      <c r="E5" s="4" t="s">
        <v>27</v>
      </c>
      <c r="F5" s="4" t="s">
        <v>17</v>
      </c>
      <c r="G5" t="s">
        <v>28</v>
      </c>
      <c r="H5" t="s">
        <v>28</v>
      </c>
      <c r="I5">
        <v>14734</v>
      </c>
      <c r="J5">
        <v>5741</v>
      </c>
      <c r="K5">
        <v>1236</v>
      </c>
      <c r="L5">
        <v>309387</v>
      </c>
      <c r="M5">
        <f t="shared" si="0"/>
        <v>13451.6086956522</v>
      </c>
      <c r="N5" s="5">
        <f t="shared" si="1"/>
        <v>13451.6086956522</v>
      </c>
    </row>
    <row r="6" ht="14.25" spans="1:14">
      <c r="A6">
        <v>5</v>
      </c>
      <c r="B6" t="s">
        <v>29</v>
      </c>
      <c r="C6" s="4" t="s">
        <v>14</v>
      </c>
      <c r="D6" s="4" t="s">
        <v>15</v>
      </c>
      <c r="E6" s="4" t="s">
        <v>16</v>
      </c>
      <c r="F6" s="4" t="s">
        <v>30</v>
      </c>
      <c r="G6" t="s">
        <v>18</v>
      </c>
      <c r="H6" t="s">
        <v>18</v>
      </c>
      <c r="I6">
        <v>46805</v>
      </c>
      <c r="J6">
        <v>18927</v>
      </c>
      <c r="K6">
        <v>3947</v>
      </c>
      <c r="L6">
        <v>860610</v>
      </c>
      <c r="M6">
        <f t="shared" si="0"/>
        <v>37417.8260869565</v>
      </c>
      <c r="N6" s="5">
        <f t="shared" si="1"/>
        <v>37417.8260869565</v>
      </c>
    </row>
    <row r="7" ht="14.25" spans="1:14">
      <c r="A7">
        <v>6</v>
      </c>
      <c r="B7" t="s">
        <v>31</v>
      </c>
      <c r="C7" s="4" t="s">
        <v>20</v>
      </c>
      <c r="D7" s="4" t="s">
        <v>21</v>
      </c>
      <c r="E7" s="4" t="s">
        <v>16</v>
      </c>
      <c r="F7" s="4" t="s">
        <v>30</v>
      </c>
      <c r="G7" t="s">
        <v>22</v>
      </c>
      <c r="H7" t="s">
        <v>23</v>
      </c>
      <c r="I7">
        <v>233609</v>
      </c>
      <c r="J7">
        <v>94449</v>
      </c>
      <c r="K7">
        <v>0</v>
      </c>
      <c r="L7">
        <v>0</v>
      </c>
      <c r="M7">
        <f t="shared" si="0"/>
        <v>0</v>
      </c>
      <c r="N7" s="5">
        <f t="shared" si="1"/>
        <v>0</v>
      </c>
    </row>
    <row r="8" ht="14.25" spans="1:14">
      <c r="A8">
        <v>7</v>
      </c>
      <c r="B8" t="s">
        <v>29</v>
      </c>
      <c r="C8" s="4" t="s">
        <v>14</v>
      </c>
      <c r="D8" s="4" t="s">
        <v>21</v>
      </c>
      <c r="E8" s="4" t="s">
        <v>16</v>
      </c>
      <c r="F8" s="4" t="s">
        <v>30</v>
      </c>
      <c r="G8" t="s">
        <v>24</v>
      </c>
      <c r="H8" t="s">
        <v>24</v>
      </c>
      <c r="I8">
        <v>65618</v>
      </c>
      <c r="J8">
        <v>27200</v>
      </c>
      <c r="K8">
        <v>5571</v>
      </c>
      <c r="L8">
        <v>977975</v>
      </c>
      <c r="M8">
        <f t="shared" si="0"/>
        <v>42520.652173913</v>
      </c>
      <c r="N8" s="5">
        <f t="shared" si="1"/>
        <v>42520.652173913</v>
      </c>
    </row>
    <row r="9" ht="14.25" spans="1:14">
      <c r="A9">
        <v>9</v>
      </c>
      <c r="B9" t="s">
        <v>32</v>
      </c>
      <c r="C9" s="4" t="s">
        <v>14</v>
      </c>
      <c r="D9" s="4" t="s">
        <v>21</v>
      </c>
      <c r="E9" s="4" t="s">
        <v>27</v>
      </c>
      <c r="F9" s="4" t="s">
        <v>17</v>
      </c>
      <c r="G9" t="s">
        <v>33</v>
      </c>
      <c r="H9" t="s">
        <v>33</v>
      </c>
      <c r="I9">
        <v>21283</v>
      </c>
      <c r="J9">
        <v>5337</v>
      </c>
      <c r="K9">
        <v>3760</v>
      </c>
      <c r="L9">
        <v>192684</v>
      </c>
      <c r="M9">
        <f t="shared" si="0"/>
        <v>8377.5652173913</v>
      </c>
      <c r="N9" s="5">
        <f t="shared" si="1"/>
        <v>8377.5652173913</v>
      </c>
    </row>
    <row r="10" ht="14.25" spans="1:14">
      <c r="A10">
        <v>10</v>
      </c>
      <c r="B10" t="s">
        <v>34</v>
      </c>
      <c r="C10" s="4" t="s">
        <v>20</v>
      </c>
      <c r="D10" s="4" t="s">
        <v>21</v>
      </c>
      <c r="E10" s="4" t="s">
        <v>27</v>
      </c>
      <c r="F10" s="4" t="s">
        <v>17</v>
      </c>
      <c r="G10" t="s">
        <v>35</v>
      </c>
      <c r="H10" t="s">
        <v>36</v>
      </c>
      <c r="I10">
        <v>60368</v>
      </c>
      <c r="J10">
        <v>21766</v>
      </c>
      <c r="K10">
        <v>0</v>
      </c>
      <c r="L10">
        <v>0</v>
      </c>
      <c r="M10">
        <f t="shared" si="0"/>
        <v>0</v>
      </c>
      <c r="N10" s="5">
        <f t="shared" si="1"/>
        <v>0</v>
      </c>
    </row>
    <row r="11" ht="14.25" spans="1:14">
      <c r="A11">
        <v>11</v>
      </c>
      <c r="B11" t="s">
        <v>32</v>
      </c>
      <c r="C11" s="4" t="s">
        <v>14</v>
      </c>
      <c r="D11" s="4" t="s">
        <v>21</v>
      </c>
      <c r="E11" s="4" t="s">
        <v>27</v>
      </c>
      <c r="F11" s="4" t="s">
        <v>17</v>
      </c>
      <c r="G11" t="s">
        <v>37</v>
      </c>
      <c r="H11" t="s">
        <v>37</v>
      </c>
      <c r="I11">
        <v>65405</v>
      </c>
      <c r="J11">
        <v>25838</v>
      </c>
      <c r="K11">
        <v>5556</v>
      </c>
      <c r="L11">
        <v>1045238</v>
      </c>
      <c r="M11">
        <f t="shared" si="0"/>
        <v>45445.1304347826</v>
      </c>
      <c r="N11" s="5">
        <f t="shared" si="1"/>
        <v>45445.1304347826</v>
      </c>
    </row>
    <row r="12" ht="14.25" spans="1:14">
      <c r="A12">
        <v>13</v>
      </c>
      <c r="B12" t="s">
        <v>38</v>
      </c>
      <c r="C12" s="4" t="s">
        <v>14</v>
      </c>
      <c r="D12" s="4" t="s">
        <v>21</v>
      </c>
      <c r="E12" s="4" t="s">
        <v>27</v>
      </c>
      <c r="F12" s="4" t="s">
        <v>39</v>
      </c>
      <c r="G12" t="s">
        <v>40</v>
      </c>
      <c r="H12" t="s">
        <v>40</v>
      </c>
      <c r="I12">
        <v>55782</v>
      </c>
      <c r="J12">
        <v>13614</v>
      </c>
      <c r="K12">
        <v>9980</v>
      </c>
      <c r="L12">
        <v>849109</v>
      </c>
      <c r="M12">
        <f t="shared" si="0"/>
        <v>36917.7826086957</v>
      </c>
      <c r="N12" s="5">
        <f t="shared" si="1"/>
        <v>36917.7826086957</v>
      </c>
    </row>
    <row r="13" ht="14.25" spans="1:14">
      <c r="A13">
        <v>14</v>
      </c>
      <c r="B13" t="s">
        <v>38</v>
      </c>
      <c r="C13" s="4" t="s">
        <v>14</v>
      </c>
      <c r="D13" s="4" t="s">
        <v>21</v>
      </c>
      <c r="E13" s="4" t="s">
        <v>27</v>
      </c>
      <c r="F13" s="4" t="s">
        <v>39</v>
      </c>
      <c r="G13" t="s">
        <v>37</v>
      </c>
      <c r="H13" t="s">
        <v>37</v>
      </c>
      <c r="I13">
        <v>65405</v>
      </c>
      <c r="J13">
        <v>25838</v>
      </c>
      <c r="K13">
        <v>5556</v>
      </c>
      <c r="L13">
        <v>1045238</v>
      </c>
      <c r="M13">
        <f t="shared" si="0"/>
        <v>45445.1304347826</v>
      </c>
      <c r="N13" s="5">
        <f t="shared" si="1"/>
        <v>45445.1304347826</v>
      </c>
    </row>
    <row r="14" ht="14.25" spans="1:14">
      <c r="A14">
        <v>15</v>
      </c>
      <c r="B14" t="s">
        <v>41</v>
      </c>
      <c r="C14" s="4" t="s">
        <v>20</v>
      </c>
      <c r="D14" s="4" t="s">
        <v>21</v>
      </c>
      <c r="E14" s="4" t="s">
        <v>27</v>
      </c>
      <c r="F14" s="4" t="s">
        <v>17</v>
      </c>
      <c r="G14" t="s">
        <v>35</v>
      </c>
      <c r="H14" t="s">
        <v>36</v>
      </c>
      <c r="I14">
        <v>60368</v>
      </c>
      <c r="J14">
        <v>21766</v>
      </c>
      <c r="K14">
        <v>0</v>
      </c>
      <c r="L14">
        <v>0</v>
      </c>
      <c r="M14">
        <f t="shared" si="0"/>
        <v>0</v>
      </c>
      <c r="N14" s="5">
        <f t="shared" si="1"/>
        <v>0</v>
      </c>
    </row>
    <row r="15" ht="14.25" spans="1:14">
      <c r="A15">
        <v>16</v>
      </c>
      <c r="B15" t="s">
        <v>42</v>
      </c>
      <c r="C15" s="4" t="s">
        <v>14</v>
      </c>
      <c r="D15" s="4" t="s">
        <v>21</v>
      </c>
      <c r="E15" s="4" t="s">
        <v>43</v>
      </c>
      <c r="F15" s="4" t="s">
        <v>17</v>
      </c>
      <c r="G15" t="s">
        <v>44</v>
      </c>
      <c r="H15" t="s">
        <v>44</v>
      </c>
      <c r="I15">
        <v>24764</v>
      </c>
      <c r="J15">
        <v>9479</v>
      </c>
      <c r="K15">
        <v>2103</v>
      </c>
      <c r="L15">
        <v>302172</v>
      </c>
      <c r="M15">
        <f t="shared" si="0"/>
        <v>13137.9130434783</v>
      </c>
      <c r="N15" s="5">
        <f t="shared" si="1"/>
        <v>13137.9130434783</v>
      </c>
    </row>
    <row r="16" ht="14.25" spans="1:14">
      <c r="A16">
        <v>17</v>
      </c>
      <c r="B16" t="s">
        <v>45</v>
      </c>
      <c r="C16" s="4" t="s">
        <v>14</v>
      </c>
      <c r="D16" s="4" t="s">
        <v>15</v>
      </c>
      <c r="E16" s="4" t="s">
        <v>27</v>
      </c>
      <c r="F16" s="4" t="s">
        <v>39</v>
      </c>
      <c r="G16" t="s">
        <v>46</v>
      </c>
      <c r="H16" t="s">
        <v>47</v>
      </c>
      <c r="I16">
        <v>31521</v>
      </c>
      <c r="J16">
        <v>6838</v>
      </c>
      <c r="K16">
        <v>0</v>
      </c>
      <c r="L16">
        <v>0</v>
      </c>
      <c r="M16">
        <f t="shared" si="0"/>
        <v>0</v>
      </c>
      <c r="N16" s="5">
        <f t="shared" si="1"/>
        <v>0</v>
      </c>
    </row>
    <row r="17" ht="14.25" spans="1:14">
      <c r="A17">
        <v>18</v>
      </c>
      <c r="B17" t="s">
        <v>48</v>
      </c>
      <c r="C17" s="4" t="s">
        <v>14</v>
      </c>
      <c r="D17" s="4" t="s">
        <v>21</v>
      </c>
      <c r="E17" s="4" t="s">
        <v>43</v>
      </c>
      <c r="F17" s="4" t="s">
        <v>39</v>
      </c>
      <c r="G17" t="s">
        <v>44</v>
      </c>
      <c r="H17" t="s">
        <v>44</v>
      </c>
      <c r="I17">
        <v>24764</v>
      </c>
      <c r="J17">
        <v>9479</v>
      </c>
      <c r="K17">
        <v>2103</v>
      </c>
      <c r="L17">
        <v>302172</v>
      </c>
      <c r="M17">
        <f t="shared" si="0"/>
        <v>13137.9130434783</v>
      </c>
      <c r="N17" s="5">
        <f t="shared" si="1"/>
        <v>13137.9130434783</v>
      </c>
    </row>
    <row r="18" ht="14.25" spans="1:14">
      <c r="A18">
        <v>20</v>
      </c>
      <c r="B18" t="s">
        <v>49</v>
      </c>
      <c r="C18" s="4" t="s">
        <v>14</v>
      </c>
      <c r="D18" s="4" t="s">
        <v>15</v>
      </c>
      <c r="E18" s="4" t="s">
        <v>27</v>
      </c>
      <c r="F18" s="4" t="s">
        <v>17</v>
      </c>
      <c r="G18" t="s">
        <v>50</v>
      </c>
      <c r="H18" t="s">
        <v>50</v>
      </c>
      <c r="I18">
        <v>75188</v>
      </c>
      <c r="J18">
        <v>30153</v>
      </c>
      <c r="K18">
        <v>6372</v>
      </c>
      <c r="L18">
        <v>1310728</v>
      </c>
      <c r="M18">
        <f t="shared" si="0"/>
        <v>56988.1739130435</v>
      </c>
      <c r="N18" s="5">
        <f t="shared" si="1"/>
        <v>56988.1739130435</v>
      </c>
    </row>
    <row r="19" ht="14.25" spans="1:14">
      <c r="A19">
        <v>22</v>
      </c>
      <c r="B19" t="s">
        <v>51</v>
      </c>
      <c r="C19" s="4" t="s">
        <v>14</v>
      </c>
      <c r="D19" s="4" t="s">
        <v>15</v>
      </c>
      <c r="E19" s="4" t="s">
        <v>43</v>
      </c>
      <c r="F19" s="4" t="s">
        <v>17</v>
      </c>
      <c r="G19" t="s">
        <v>52</v>
      </c>
      <c r="H19" t="s">
        <v>52</v>
      </c>
      <c r="I19">
        <v>34547</v>
      </c>
      <c r="J19">
        <v>13794</v>
      </c>
      <c r="K19">
        <v>2919</v>
      </c>
      <c r="L19">
        <v>567662</v>
      </c>
      <c r="M19">
        <f t="shared" si="0"/>
        <v>24680.9565217391</v>
      </c>
      <c r="N19" s="5">
        <f t="shared" si="1"/>
        <v>24680.9565217391</v>
      </c>
    </row>
    <row r="20" ht="14.25" spans="1:14">
      <c r="A20">
        <v>23</v>
      </c>
      <c r="B20" t="s">
        <v>53</v>
      </c>
      <c r="C20" s="4" t="s">
        <v>14</v>
      </c>
      <c r="D20" s="4" t="s">
        <v>15</v>
      </c>
      <c r="E20" s="4" t="s">
        <v>43</v>
      </c>
      <c r="F20" s="4" t="s">
        <v>39</v>
      </c>
      <c r="G20" t="s">
        <v>52</v>
      </c>
      <c r="H20" t="s">
        <v>52</v>
      </c>
      <c r="I20">
        <v>34547</v>
      </c>
      <c r="J20">
        <v>13794</v>
      </c>
      <c r="K20">
        <v>2919</v>
      </c>
      <c r="L20">
        <v>567662</v>
      </c>
      <c r="M20">
        <f t="shared" si="0"/>
        <v>24680.9565217391</v>
      </c>
      <c r="N20" s="5">
        <f t="shared" si="1"/>
        <v>24680.9565217391</v>
      </c>
    </row>
    <row r="21" ht="14.25" spans="1:14">
      <c r="A21">
        <v>24</v>
      </c>
      <c r="B21" t="s">
        <v>25</v>
      </c>
      <c r="C21" s="4" t="s">
        <v>26</v>
      </c>
      <c r="D21" s="4" t="s">
        <v>21</v>
      </c>
      <c r="E21" s="4" t="s">
        <v>27</v>
      </c>
      <c r="F21" s="4" t="s">
        <v>17</v>
      </c>
      <c r="G21" t="s">
        <v>54</v>
      </c>
      <c r="H21" t="s">
        <v>55</v>
      </c>
      <c r="I21">
        <v>234931</v>
      </c>
      <c r="J21">
        <v>131167</v>
      </c>
      <c r="K21">
        <v>0</v>
      </c>
      <c r="L21">
        <v>0</v>
      </c>
      <c r="M21">
        <f t="shared" si="0"/>
        <v>0</v>
      </c>
      <c r="N21" s="5">
        <f t="shared" si="1"/>
        <v>0</v>
      </c>
    </row>
    <row r="22" ht="14.25" spans="1:14">
      <c r="A22">
        <v>25</v>
      </c>
      <c r="B22" t="s">
        <v>38</v>
      </c>
      <c r="C22" s="4" t="s">
        <v>14</v>
      </c>
      <c r="D22" s="4" t="s">
        <v>21</v>
      </c>
      <c r="E22" s="4" t="s">
        <v>27</v>
      </c>
      <c r="F22" s="4" t="s">
        <v>39</v>
      </c>
      <c r="G22" t="s">
        <v>56</v>
      </c>
      <c r="H22" t="s">
        <v>57</v>
      </c>
      <c r="I22">
        <v>114708</v>
      </c>
      <c r="J22">
        <v>34193</v>
      </c>
      <c r="K22">
        <v>0</v>
      </c>
      <c r="L22">
        <v>0</v>
      </c>
      <c r="M22">
        <f t="shared" si="0"/>
        <v>0</v>
      </c>
      <c r="N22" s="5">
        <f t="shared" si="1"/>
        <v>0</v>
      </c>
    </row>
    <row r="23" ht="14.25" spans="1:14">
      <c r="A23">
        <v>26</v>
      </c>
      <c r="B23" t="s">
        <v>38</v>
      </c>
      <c r="C23" s="4" t="s">
        <v>14</v>
      </c>
      <c r="D23" s="4" t="s">
        <v>21</v>
      </c>
      <c r="E23" s="4" t="s">
        <v>27</v>
      </c>
      <c r="F23" s="4" t="s">
        <v>39</v>
      </c>
      <c r="G23" t="s">
        <v>58</v>
      </c>
      <c r="H23" t="s">
        <v>58</v>
      </c>
      <c r="I23">
        <v>85039</v>
      </c>
      <c r="J23">
        <v>30079</v>
      </c>
      <c r="K23">
        <v>4637</v>
      </c>
      <c r="L23">
        <v>1235114</v>
      </c>
      <c r="M23">
        <f t="shared" si="0"/>
        <v>53700.6086956522</v>
      </c>
      <c r="N23" s="5">
        <f t="shared" si="1"/>
        <v>53700.6086956522</v>
      </c>
    </row>
    <row r="24" ht="14.25" spans="1:14">
      <c r="A24">
        <v>27</v>
      </c>
      <c r="B24" t="s">
        <v>38</v>
      </c>
      <c r="C24" s="4" t="s">
        <v>14</v>
      </c>
      <c r="D24" s="4" t="s">
        <v>21</v>
      </c>
      <c r="E24" s="4" t="s">
        <v>27</v>
      </c>
      <c r="F24" s="4" t="s">
        <v>39</v>
      </c>
      <c r="G24" t="s">
        <v>59</v>
      </c>
      <c r="H24" t="s">
        <v>59</v>
      </c>
      <c r="I24">
        <v>67287</v>
      </c>
      <c r="J24">
        <v>32918</v>
      </c>
      <c r="K24">
        <v>0</v>
      </c>
      <c r="L24">
        <v>1010077</v>
      </c>
      <c r="M24">
        <f t="shared" si="0"/>
        <v>43916.3913043478</v>
      </c>
      <c r="N24" s="5">
        <f t="shared" si="1"/>
        <v>43916.3913043478</v>
      </c>
    </row>
    <row r="25" ht="14.25" spans="1:14">
      <c r="A25">
        <v>28</v>
      </c>
      <c r="B25" t="s">
        <v>60</v>
      </c>
      <c r="C25" s="4" t="s">
        <v>26</v>
      </c>
      <c r="D25" s="4" t="s">
        <v>21</v>
      </c>
      <c r="E25" s="4" t="s">
        <v>27</v>
      </c>
      <c r="F25" s="4" t="s">
        <v>39</v>
      </c>
      <c r="G25" t="s">
        <v>61</v>
      </c>
      <c r="H25" t="s">
        <v>61</v>
      </c>
      <c r="I25">
        <v>90995</v>
      </c>
      <c r="J25">
        <v>92718</v>
      </c>
      <c r="K25">
        <v>0</v>
      </c>
      <c r="L25">
        <v>1099608</v>
      </c>
      <c r="M25">
        <f t="shared" si="0"/>
        <v>47809.0434782609</v>
      </c>
      <c r="N25" s="5">
        <f t="shared" si="1"/>
        <v>47809.0434782609</v>
      </c>
    </row>
    <row r="26" ht="14.25" spans="1:14">
      <c r="A26">
        <v>29</v>
      </c>
      <c r="B26" t="s">
        <v>32</v>
      </c>
      <c r="C26" s="4" t="s">
        <v>14</v>
      </c>
      <c r="D26" s="4" t="s">
        <v>21</v>
      </c>
      <c r="E26" s="4" t="s">
        <v>27</v>
      </c>
      <c r="F26" s="4" t="s">
        <v>17</v>
      </c>
      <c r="G26" t="s">
        <v>62</v>
      </c>
      <c r="H26" t="s">
        <v>63</v>
      </c>
      <c r="I26">
        <v>141903</v>
      </c>
      <c r="J26">
        <v>42992</v>
      </c>
      <c r="K26">
        <v>12113</v>
      </c>
      <c r="L26">
        <v>1587514</v>
      </c>
      <c r="M26">
        <f t="shared" si="0"/>
        <v>69022.347826087</v>
      </c>
      <c r="N26" s="5">
        <f t="shared" si="1"/>
        <v>69022.347826087</v>
      </c>
    </row>
    <row r="27" ht="14.25" spans="1:14">
      <c r="A27">
        <v>30</v>
      </c>
      <c r="B27" t="s">
        <v>64</v>
      </c>
      <c r="C27" s="4" t="s">
        <v>14</v>
      </c>
      <c r="D27" s="4" t="s">
        <v>21</v>
      </c>
      <c r="E27" s="4" t="s">
        <v>27</v>
      </c>
      <c r="F27" s="4" t="s">
        <v>30</v>
      </c>
      <c r="G27" t="s">
        <v>62</v>
      </c>
      <c r="H27" t="s">
        <v>63</v>
      </c>
      <c r="I27">
        <v>141903</v>
      </c>
      <c r="J27">
        <v>42992</v>
      </c>
      <c r="K27">
        <v>12113</v>
      </c>
      <c r="L27">
        <v>1587514</v>
      </c>
      <c r="M27">
        <f t="shared" si="0"/>
        <v>69022.347826087</v>
      </c>
      <c r="N27" s="5">
        <f t="shared" si="1"/>
        <v>69022.347826087</v>
      </c>
    </row>
    <row r="28" ht="14.25" spans="1:14">
      <c r="A28">
        <v>31</v>
      </c>
      <c r="B28" t="s">
        <v>42</v>
      </c>
      <c r="C28" s="4" t="s">
        <v>14</v>
      </c>
      <c r="D28" s="4" t="s">
        <v>21</v>
      </c>
      <c r="E28" s="4" t="s">
        <v>43</v>
      </c>
      <c r="F28" s="4" t="s">
        <v>17</v>
      </c>
      <c r="G28" t="s">
        <v>65</v>
      </c>
      <c r="H28" t="s">
        <v>65</v>
      </c>
      <c r="I28">
        <v>23980</v>
      </c>
      <c r="J28">
        <v>9802</v>
      </c>
      <c r="K28">
        <v>2134</v>
      </c>
      <c r="L28">
        <v>283423</v>
      </c>
      <c r="M28">
        <f t="shared" si="0"/>
        <v>12322.7391304348</v>
      </c>
      <c r="N28" s="5">
        <f t="shared" si="1"/>
        <v>12322.7391304348</v>
      </c>
    </row>
    <row r="29" ht="14.25" spans="1:14">
      <c r="A29">
        <v>32</v>
      </c>
      <c r="B29" t="s">
        <v>66</v>
      </c>
      <c r="C29" s="4" t="s">
        <v>14</v>
      </c>
      <c r="D29" s="4" t="s">
        <v>21</v>
      </c>
      <c r="E29" s="4" t="s">
        <v>43</v>
      </c>
      <c r="F29" s="4" t="s">
        <v>30</v>
      </c>
      <c r="G29" t="s">
        <v>65</v>
      </c>
      <c r="H29" t="s">
        <v>65</v>
      </c>
      <c r="I29">
        <v>23980</v>
      </c>
      <c r="J29">
        <v>9802</v>
      </c>
      <c r="K29">
        <v>2134</v>
      </c>
      <c r="L29">
        <v>283423</v>
      </c>
      <c r="M29">
        <f t="shared" si="0"/>
        <v>12322.7391304348</v>
      </c>
      <c r="N29" s="5">
        <f t="shared" si="1"/>
        <v>12322.7391304348</v>
      </c>
    </row>
    <row r="30" ht="14.25" spans="1:14">
      <c r="A30">
        <v>33</v>
      </c>
      <c r="B30" t="s">
        <v>49</v>
      </c>
      <c r="C30" s="4" t="s">
        <v>14</v>
      </c>
      <c r="D30" s="4" t="s">
        <v>15</v>
      </c>
      <c r="E30" s="4" t="s">
        <v>27</v>
      </c>
      <c r="F30" s="4" t="s">
        <v>17</v>
      </c>
      <c r="G30" t="s">
        <v>67</v>
      </c>
      <c r="H30" t="s">
        <v>67</v>
      </c>
      <c r="I30">
        <v>81896</v>
      </c>
      <c r="J30">
        <v>39682</v>
      </c>
      <c r="K30">
        <v>6905</v>
      </c>
      <c r="L30">
        <v>913114</v>
      </c>
      <c r="M30">
        <f t="shared" si="0"/>
        <v>39700.6086956522</v>
      </c>
      <c r="N30" s="5">
        <f t="shared" si="1"/>
        <v>39700.6086956522</v>
      </c>
    </row>
    <row r="31" ht="14.25" spans="1:14">
      <c r="A31">
        <v>34</v>
      </c>
      <c r="B31" t="s">
        <v>68</v>
      </c>
      <c r="C31" s="4" t="s">
        <v>14</v>
      </c>
      <c r="D31" s="4" t="s">
        <v>15</v>
      </c>
      <c r="E31" s="4" t="s">
        <v>27</v>
      </c>
      <c r="F31" s="4" t="s">
        <v>30</v>
      </c>
      <c r="G31" t="s">
        <v>67</v>
      </c>
      <c r="H31" t="s">
        <v>67</v>
      </c>
      <c r="I31">
        <v>81896</v>
      </c>
      <c r="J31">
        <v>39682</v>
      </c>
      <c r="K31">
        <v>6905</v>
      </c>
      <c r="L31">
        <v>913114</v>
      </c>
      <c r="M31">
        <f t="shared" si="0"/>
        <v>39700.6086956522</v>
      </c>
      <c r="N31" s="5">
        <f t="shared" si="1"/>
        <v>39700.6086956522</v>
      </c>
    </row>
    <row r="32" ht="14.25" spans="1:14">
      <c r="A32">
        <v>35</v>
      </c>
      <c r="B32" t="s">
        <v>69</v>
      </c>
      <c r="C32" s="4" t="s">
        <v>20</v>
      </c>
      <c r="D32" s="4" t="s">
        <v>15</v>
      </c>
      <c r="E32" s="4" t="s">
        <v>27</v>
      </c>
      <c r="F32" s="4" t="s">
        <v>17</v>
      </c>
      <c r="G32" t="s">
        <v>70</v>
      </c>
      <c r="H32" t="s">
        <v>70</v>
      </c>
      <c r="I32">
        <v>5424</v>
      </c>
      <c r="J32">
        <v>8652</v>
      </c>
      <c r="K32">
        <v>457</v>
      </c>
      <c r="L32">
        <v>59540</v>
      </c>
      <c r="M32">
        <f t="shared" si="0"/>
        <v>2588.69565217391</v>
      </c>
      <c r="N32" s="5">
        <f t="shared" si="1"/>
        <v>2588.69565217391</v>
      </c>
    </row>
    <row r="33" ht="14.25" spans="1:14">
      <c r="A33">
        <v>38</v>
      </c>
      <c r="B33" t="s">
        <v>51</v>
      </c>
      <c r="C33" s="4" t="s">
        <v>14</v>
      </c>
      <c r="D33" s="4" t="s">
        <v>15</v>
      </c>
      <c r="E33" s="4" t="s">
        <v>43</v>
      </c>
      <c r="F33" s="4" t="s">
        <v>17</v>
      </c>
      <c r="G33" t="s">
        <v>71</v>
      </c>
      <c r="H33" t="s">
        <v>71</v>
      </c>
      <c r="I33">
        <v>27242</v>
      </c>
      <c r="J33">
        <v>12542</v>
      </c>
      <c r="K33">
        <v>2301</v>
      </c>
      <c r="L33">
        <v>301322</v>
      </c>
      <c r="M33">
        <f t="shared" si="0"/>
        <v>13100.9565217391</v>
      </c>
      <c r="N33" s="5">
        <f t="shared" si="1"/>
        <v>13100.9565217391</v>
      </c>
    </row>
    <row r="34" ht="14.25" spans="1:14">
      <c r="A34">
        <v>39</v>
      </c>
      <c r="B34" t="s">
        <v>72</v>
      </c>
      <c r="C34" s="4" t="s">
        <v>14</v>
      </c>
      <c r="D34" s="4" t="s">
        <v>15</v>
      </c>
      <c r="E34" s="4" t="s">
        <v>43</v>
      </c>
      <c r="F34" s="4" t="s">
        <v>30</v>
      </c>
      <c r="G34" t="s">
        <v>71</v>
      </c>
      <c r="H34" t="s">
        <v>71</v>
      </c>
      <c r="I34">
        <v>27242</v>
      </c>
      <c r="J34">
        <v>12542</v>
      </c>
      <c r="K34">
        <v>2301</v>
      </c>
      <c r="L34">
        <v>301322</v>
      </c>
      <c r="M34">
        <f t="shared" si="0"/>
        <v>13100.9565217391</v>
      </c>
      <c r="N34" s="5">
        <f t="shared" si="1"/>
        <v>13100.9565217391</v>
      </c>
    </row>
    <row r="35" ht="14.25" spans="1:14">
      <c r="A35">
        <v>40</v>
      </c>
      <c r="B35" t="s">
        <v>34</v>
      </c>
      <c r="C35" s="4" t="s">
        <v>20</v>
      </c>
      <c r="D35" s="4" t="s">
        <v>21</v>
      </c>
      <c r="E35" s="4" t="s">
        <v>27</v>
      </c>
      <c r="F35" s="4" t="s">
        <v>17</v>
      </c>
      <c r="G35" t="s">
        <v>73</v>
      </c>
      <c r="H35" t="s">
        <v>73</v>
      </c>
      <c r="I35">
        <v>33833</v>
      </c>
      <c r="J35">
        <v>22767</v>
      </c>
      <c r="K35">
        <v>2849</v>
      </c>
      <c r="L35">
        <v>374284</v>
      </c>
      <c r="M35">
        <f t="shared" si="0"/>
        <v>16273.2173913043</v>
      </c>
      <c r="N35" s="5">
        <f t="shared" si="1"/>
        <v>16273.2173913043</v>
      </c>
    </row>
    <row r="36" ht="14.25" spans="1:14">
      <c r="A36">
        <v>41</v>
      </c>
      <c r="B36" t="s">
        <v>74</v>
      </c>
      <c r="C36" s="4" t="s">
        <v>26</v>
      </c>
      <c r="D36" s="4" t="s">
        <v>21</v>
      </c>
      <c r="E36" s="4" t="s">
        <v>43</v>
      </c>
      <c r="F36" s="4" t="s">
        <v>30</v>
      </c>
      <c r="G36" t="s">
        <v>73</v>
      </c>
      <c r="H36" t="s">
        <v>73</v>
      </c>
      <c r="I36">
        <v>33833</v>
      </c>
      <c r="J36">
        <v>22767</v>
      </c>
      <c r="K36">
        <v>2849</v>
      </c>
      <c r="L36">
        <v>374284</v>
      </c>
      <c r="M36">
        <f t="shared" si="0"/>
        <v>16273.2173913043</v>
      </c>
      <c r="N36" s="5">
        <f t="shared" si="1"/>
        <v>16273.2173913043</v>
      </c>
    </row>
    <row r="37" ht="14.25" spans="1:14">
      <c r="A37">
        <v>43</v>
      </c>
      <c r="B37" t="s">
        <v>74</v>
      </c>
      <c r="C37" s="4" t="s">
        <v>26</v>
      </c>
      <c r="D37" s="4" t="s">
        <v>21</v>
      </c>
      <c r="E37" s="4" t="s">
        <v>43</v>
      </c>
      <c r="F37" s="4" t="s">
        <v>30</v>
      </c>
      <c r="G37" t="s">
        <v>75</v>
      </c>
      <c r="H37" t="s">
        <v>75</v>
      </c>
      <c r="I37">
        <v>38372</v>
      </c>
      <c r="J37">
        <v>24027</v>
      </c>
      <c r="K37">
        <v>3238</v>
      </c>
      <c r="L37">
        <v>434743</v>
      </c>
      <c r="M37">
        <f t="shared" si="0"/>
        <v>18901.8695652174</v>
      </c>
      <c r="N37" s="5">
        <f t="shared" si="1"/>
        <v>18901.8695652174</v>
      </c>
    </row>
    <row r="38" ht="14.25" spans="1:14">
      <c r="A38">
        <v>44</v>
      </c>
      <c r="B38" t="s">
        <v>76</v>
      </c>
      <c r="C38" s="4" t="s">
        <v>26</v>
      </c>
      <c r="D38" s="4" t="s">
        <v>15</v>
      </c>
      <c r="E38" s="4" t="s">
        <v>27</v>
      </c>
      <c r="F38" s="4" t="s">
        <v>17</v>
      </c>
      <c r="G38" t="s">
        <v>77</v>
      </c>
      <c r="H38" t="s">
        <v>77</v>
      </c>
      <c r="I38">
        <v>32096</v>
      </c>
      <c r="J38">
        <v>30096</v>
      </c>
      <c r="K38">
        <v>2701</v>
      </c>
      <c r="L38">
        <v>372453</v>
      </c>
      <c r="M38">
        <f t="shared" si="0"/>
        <v>16193.6086956522</v>
      </c>
      <c r="N38" s="5">
        <f t="shared" si="1"/>
        <v>16193.6086956522</v>
      </c>
    </row>
    <row r="39" ht="14.25" spans="1:14">
      <c r="A39">
        <v>45</v>
      </c>
      <c r="B39" t="s">
        <v>78</v>
      </c>
      <c r="C39" s="4" t="s">
        <v>26</v>
      </c>
      <c r="D39" s="4" t="s">
        <v>15</v>
      </c>
      <c r="E39" s="4" t="s">
        <v>43</v>
      </c>
      <c r="F39" s="4" t="s">
        <v>30</v>
      </c>
      <c r="G39" t="s">
        <v>77</v>
      </c>
      <c r="H39" t="s">
        <v>77</v>
      </c>
      <c r="I39">
        <v>32096</v>
      </c>
      <c r="J39">
        <v>30096</v>
      </c>
      <c r="K39">
        <v>2701</v>
      </c>
      <c r="L39">
        <v>372453</v>
      </c>
      <c r="M39">
        <f t="shared" si="0"/>
        <v>16193.6086956522</v>
      </c>
      <c r="N39" s="5">
        <f t="shared" si="1"/>
        <v>16193.6086956522</v>
      </c>
    </row>
    <row r="40" ht="14.25" spans="1:14">
      <c r="A40">
        <v>46</v>
      </c>
      <c r="B40" t="s">
        <v>79</v>
      </c>
      <c r="C40" s="4" t="s">
        <v>14</v>
      </c>
      <c r="D40" s="4" t="s">
        <v>21</v>
      </c>
      <c r="E40" s="4" t="s">
        <v>16</v>
      </c>
      <c r="F40" s="4" t="s">
        <v>39</v>
      </c>
      <c r="G40" t="s">
        <v>80</v>
      </c>
      <c r="I40">
        <v>20035</v>
      </c>
      <c r="J40">
        <v>12260</v>
      </c>
      <c r="K40">
        <v>0</v>
      </c>
      <c r="L40">
        <v>0</v>
      </c>
      <c r="M40">
        <v>0</v>
      </c>
      <c r="N40" s="5">
        <v>0</v>
      </c>
    </row>
    <row r="41" ht="14.25" spans="1:14">
      <c r="A41">
        <v>47</v>
      </c>
      <c r="B41" t="s">
        <v>81</v>
      </c>
      <c r="C41" s="4" t="s">
        <v>14</v>
      </c>
      <c r="D41" s="4" t="s">
        <v>15</v>
      </c>
      <c r="E41" s="4" t="s">
        <v>16</v>
      </c>
      <c r="F41" s="4" t="s">
        <v>39</v>
      </c>
      <c r="G41" t="s">
        <v>80</v>
      </c>
      <c r="I41">
        <v>7775</v>
      </c>
      <c r="J41">
        <v>7775</v>
      </c>
      <c r="K41">
        <v>0</v>
      </c>
      <c r="L41">
        <v>0</v>
      </c>
      <c r="M41">
        <v>0</v>
      </c>
      <c r="N41" s="5">
        <v>0</v>
      </c>
    </row>
    <row r="42" spans="1:14">
      <c r="I42">
        <f>SUM(I2:I41)</f>
        <v>2607206</v>
      </c>
      <c r="J42">
        <f>SUM(J2:J41)</f>
        <v>1174140</v>
      </c>
      <c r="K42">
        <f>SUM(K2:K39)</f>
        <v>127878</v>
      </c>
      <c r="L42">
        <f>SUM(L2:L39)</f>
        <v>21672524</v>
      </c>
      <c r="M42">
        <f>SUM(M2:M39)</f>
        <v>942283.652173913</v>
      </c>
      <c r="N42" s="5">
        <f>SUM(N2:N39)</f>
        <v>942283.652173913</v>
      </c>
    </row>
    <row r="43" spans="1:14">
      <c r="N43" s="5"/>
    </row>
  </sheetData>
  <autoFilter xmlns:etc="http://www.wps.cn/officeDocument/2017/etCustomData" ref="A1:N4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WPS_1751955941</cp:lastModifiedBy>
  <dcterms:created xsi:type="dcterms:W3CDTF">2026-06-22T18:58:00Z</dcterms:created>
  <dcterms:modified xsi:type="dcterms:W3CDTF">2026-06-26T12:38:38Z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B81ADB3A436E4CBCB3B479D9A89AB829_12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